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 Bruce - User\Documents\ClaudeSpace\Solution Preparation MU\"/>
    </mc:Choice>
  </mc:AlternateContent>
  <xr:revisionPtr revIDLastSave="0" documentId="8_{7BBF6700-F706-43E5-B835-2D393C125145}" xr6:coauthVersionLast="47" xr6:coauthVersionMax="47" xr10:uidLastSave="{00000000-0000-0000-0000-000000000000}"/>
  <bookViews>
    <workbookView xWindow="14295" yWindow="0" windowWidth="14610" windowHeight="17385" xr2:uid="{46BD0C17-BF65-4FA2-9AD3-8A3179E8AE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H15" i="1" s="1"/>
  <c r="F16" i="1"/>
  <c r="H16" i="1" s="1"/>
  <c r="G14" i="1"/>
  <c r="H14" i="1"/>
  <c r="F14" i="1"/>
  <c r="G13" i="1"/>
  <c r="H13" i="1" s="1"/>
  <c r="F13" i="1"/>
  <c r="G12" i="1"/>
  <c r="H12" i="1"/>
  <c r="F12" i="1"/>
  <c r="G11" i="1"/>
  <c r="H11" i="1"/>
  <c r="F11" i="1"/>
  <c r="G10" i="1"/>
  <c r="H10" i="1" s="1"/>
  <c r="F10" i="1"/>
  <c r="G9" i="1"/>
  <c r="H9" i="1"/>
  <c r="F9" i="1"/>
  <c r="G8" i="1"/>
  <c r="H8" i="1"/>
  <c r="F8" i="1"/>
  <c r="G7" i="1"/>
  <c r="H7" i="1" s="1"/>
  <c r="F7" i="1"/>
  <c r="H4" i="1"/>
  <c r="H5" i="1"/>
  <c r="H6" i="1"/>
  <c r="G4" i="1"/>
  <c r="G5" i="1"/>
  <c r="G6" i="1"/>
  <c r="F4" i="1"/>
  <c r="F5" i="1"/>
  <c r="F6" i="1"/>
  <c r="H3" i="1"/>
  <c r="G3" i="1"/>
  <c r="F3" i="1"/>
  <c r="H2" i="1"/>
  <c r="G2" i="1"/>
  <c r="F2" i="1"/>
</calcChain>
</file>

<file path=xl/sharedStrings.xml><?xml version="1.0" encoding="utf-8"?>
<sst xmlns="http://schemas.openxmlformats.org/spreadsheetml/2006/main" count="25" uniqueCount="13">
  <si>
    <t>equipmentType</t>
  </si>
  <si>
    <t>pipette</t>
  </si>
  <si>
    <t>volumeRange</t>
  </si>
  <si>
    <t>volumeUsed</t>
  </si>
  <si>
    <t>1-100</t>
  </si>
  <si>
    <t>100-1000</t>
  </si>
  <si>
    <t>systematic error (%)</t>
  </si>
  <si>
    <t>random error (%)</t>
  </si>
  <si>
    <t>systematic error (abs)</t>
  </si>
  <si>
    <t>random error (abs)</t>
  </si>
  <si>
    <t>combined error (abs)</t>
  </si>
  <si>
    <t>coverage</t>
  </si>
  <si>
    <t>volumetric flask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</si>
</sst>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0962D-D603-467A-BBEF-026767A3465D}">
  <dimension ref="A1:I16"/>
  <sheetViews>
    <sheetView tabSelected="1" topLeftCell="B1" workbookViewId="0">
      <selection activeCell="H20" sqref="H20"/>
    </sheetView>
  </sheetViews>
  <sheetFormatPr defaultRowHeight="15" x14ac:dyDescent="0.25"/>
  <cols>
    <col min="1" max="1" width="14.5703125" bestFit="1" customWidth="1"/>
    <col min="2" max="2" width="16" bestFit="1" customWidth="1"/>
    <col min="3" max="3" width="11.85546875" bestFit="1" customWidth="1"/>
    <col min="4" max="4" width="18.85546875" bestFit="1" customWidth="1"/>
    <col min="5" max="5" width="16.28515625" bestFit="1" customWidth="1"/>
    <col min="6" max="6" width="20.5703125" bestFit="1" customWidth="1"/>
    <col min="8" max="8" width="20" bestFit="1" customWidth="1"/>
  </cols>
  <sheetData>
    <row r="1" spans="1:9" x14ac:dyDescent="0.25">
      <c r="A1" t="s">
        <v>0</v>
      </c>
      <c r="B1" t="s">
        <v>2</v>
      </c>
      <c r="C1" t="s">
        <v>3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25">
      <c r="A2" t="s">
        <v>1</v>
      </c>
      <c r="B2" t="s">
        <v>5</v>
      </c>
      <c r="C2">
        <v>1000</v>
      </c>
      <c r="D2">
        <v>6.0000000000000001E-3</v>
      </c>
      <c r="E2">
        <v>2E-3</v>
      </c>
      <c r="F2">
        <f>D2*C2</f>
        <v>6</v>
      </c>
      <c r="G2">
        <f>E2*C2</f>
        <v>2</v>
      </c>
      <c r="H2">
        <f>SQRT(F2^2+G2^2)</f>
        <v>6.324555320336759</v>
      </c>
      <c r="I2" s="1">
        <v>1</v>
      </c>
    </row>
    <row r="3" spans="1:9" x14ac:dyDescent="0.25">
      <c r="B3" t="s">
        <v>5</v>
      </c>
      <c r="C3">
        <v>400</v>
      </c>
      <c r="D3">
        <v>6.0000000000000001E-3</v>
      </c>
      <c r="E3">
        <v>3.0000000000000001E-3</v>
      </c>
      <c r="F3">
        <f>D3*C3</f>
        <v>2.4</v>
      </c>
      <c r="G3">
        <f>E3*C3</f>
        <v>1.2</v>
      </c>
      <c r="H3">
        <f>SQRT(F3^2+G3^2)</f>
        <v>2.6832815729997477</v>
      </c>
      <c r="I3" s="1">
        <v>1</v>
      </c>
    </row>
    <row r="4" spans="1:9" x14ac:dyDescent="0.25">
      <c r="B4" t="s">
        <v>5</v>
      </c>
      <c r="C4">
        <v>800</v>
      </c>
      <c r="D4">
        <v>6.0000000000000001E-3</v>
      </c>
      <c r="E4">
        <v>2E-3</v>
      </c>
      <c r="F4">
        <f t="shared" ref="F4:F16" si="0">D4*C4</f>
        <v>4.8</v>
      </c>
      <c r="G4">
        <f t="shared" ref="G4:G14" si="1">E4*C4</f>
        <v>1.6</v>
      </c>
      <c r="H4">
        <f t="shared" ref="H4:H16" si="2">SQRT(F4^2+G4^2)</f>
        <v>5.0596442562694071</v>
      </c>
      <c r="I4" s="1">
        <v>1</v>
      </c>
    </row>
    <row r="5" spans="1:9" x14ac:dyDescent="0.25">
      <c r="B5" t="s">
        <v>5</v>
      </c>
      <c r="C5">
        <v>200</v>
      </c>
      <c r="D5">
        <v>8.9999999999999993E-3</v>
      </c>
      <c r="E5">
        <v>5.4999999999999997E-3</v>
      </c>
      <c r="F5">
        <f t="shared" si="0"/>
        <v>1.7999999999999998</v>
      </c>
      <c r="G5">
        <f t="shared" si="1"/>
        <v>1.0999999999999999</v>
      </c>
      <c r="H5">
        <f t="shared" si="2"/>
        <v>2.1095023109728985</v>
      </c>
      <c r="I5" s="1">
        <v>1</v>
      </c>
    </row>
    <row r="6" spans="1:9" x14ac:dyDescent="0.25">
      <c r="B6" t="s">
        <v>5</v>
      </c>
      <c r="C6">
        <v>600</v>
      </c>
      <c r="D6">
        <v>6.0000000000000001E-3</v>
      </c>
      <c r="E6">
        <v>3.0000000000000001E-3</v>
      </c>
      <c r="F6">
        <f t="shared" si="0"/>
        <v>3.6</v>
      </c>
      <c r="G6">
        <f t="shared" si="1"/>
        <v>1.8</v>
      </c>
      <c r="H6">
        <f t="shared" si="2"/>
        <v>4.0249223594996222</v>
      </c>
      <c r="I6" s="1">
        <v>1</v>
      </c>
    </row>
    <row r="7" spans="1:9" x14ac:dyDescent="0.25">
      <c r="A7" t="s">
        <v>1</v>
      </c>
      <c r="B7" t="s">
        <v>4</v>
      </c>
      <c r="C7">
        <v>40</v>
      </c>
      <c r="D7">
        <v>0.01</v>
      </c>
      <c r="E7">
        <v>1.4999999999999999E-2</v>
      </c>
      <c r="F7">
        <f t="shared" si="0"/>
        <v>0.4</v>
      </c>
      <c r="G7">
        <f t="shared" si="1"/>
        <v>0.6</v>
      </c>
      <c r="H7">
        <f t="shared" si="2"/>
        <v>0.72111025509279791</v>
      </c>
      <c r="I7" s="1">
        <v>1</v>
      </c>
    </row>
    <row r="8" spans="1:9" x14ac:dyDescent="0.25">
      <c r="B8" t="s">
        <v>4</v>
      </c>
      <c r="C8">
        <v>95</v>
      </c>
      <c r="D8">
        <v>0.01</v>
      </c>
      <c r="E8">
        <v>5.0000000000000001E-3</v>
      </c>
      <c r="F8">
        <f t="shared" si="0"/>
        <v>0.95000000000000007</v>
      </c>
      <c r="G8">
        <f t="shared" si="1"/>
        <v>0.47500000000000003</v>
      </c>
      <c r="H8">
        <f t="shared" si="2"/>
        <v>1.0621322893124001</v>
      </c>
      <c r="I8" s="1">
        <v>1</v>
      </c>
    </row>
    <row r="9" spans="1:9" x14ac:dyDescent="0.25">
      <c r="B9" t="s">
        <v>4</v>
      </c>
      <c r="C9">
        <v>5</v>
      </c>
      <c r="D9">
        <v>1.6E-2</v>
      </c>
      <c r="E9">
        <v>2.5000000000000001E-2</v>
      </c>
      <c r="F9">
        <f t="shared" si="0"/>
        <v>0.08</v>
      </c>
      <c r="G9">
        <f t="shared" si="1"/>
        <v>0.125</v>
      </c>
      <c r="H9">
        <f t="shared" si="2"/>
        <v>0.1484082207965583</v>
      </c>
      <c r="I9" s="1">
        <v>1</v>
      </c>
    </row>
    <row r="10" spans="1:9" x14ac:dyDescent="0.25">
      <c r="B10" t="s">
        <v>4</v>
      </c>
      <c r="C10">
        <v>19</v>
      </c>
      <c r="D10">
        <v>1.6E-2</v>
      </c>
      <c r="E10">
        <v>2.5000000000000001E-2</v>
      </c>
      <c r="F10">
        <f t="shared" si="0"/>
        <v>0.30399999999999999</v>
      </c>
      <c r="G10">
        <f t="shared" si="1"/>
        <v>0.47500000000000003</v>
      </c>
      <c r="H10">
        <f t="shared" si="2"/>
        <v>0.56395123902692157</v>
      </c>
      <c r="I10" s="1">
        <v>1</v>
      </c>
    </row>
    <row r="11" spans="1:9" x14ac:dyDescent="0.25">
      <c r="B11" t="s">
        <v>4</v>
      </c>
      <c r="C11">
        <v>76</v>
      </c>
      <c r="D11">
        <v>0.01</v>
      </c>
      <c r="E11">
        <v>1.4999999999999999E-2</v>
      </c>
      <c r="F11">
        <f t="shared" si="0"/>
        <v>0.76</v>
      </c>
      <c r="G11">
        <f t="shared" si="1"/>
        <v>1.1399999999999999</v>
      </c>
      <c r="H11">
        <f t="shared" si="2"/>
        <v>1.3701094846763158</v>
      </c>
      <c r="I11" s="1">
        <v>1</v>
      </c>
    </row>
    <row r="12" spans="1:9" x14ac:dyDescent="0.25">
      <c r="B12" t="s">
        <v>4</v>
      </c>
      <c r="C12">
        <v>38</v>
      </c>
      <c r="D12">
        <v>1.6E-2</v>
      </c>
      <c r="E12">
        <v>2.5000000000000001E-2</v>
      </c>
      <c r="F12">
        <f t="shared" si="0"/>
        <v>0.60799999999999998</v>
      </c>
      <c r="G12">
        <f t="shared" si="1"/>
        <v>0.95000000000000007</v>
      </c>
      <c r="H12">
        <f t="shared" si="2"/>
        <v>1.1279024780538431</v>
      </c>
      <c r="I12" s="1">
        <v>1</v>
      </c>
    </row>
    <row r="13" spans="1:9" x14ac:dyDescent="0.25">
      <c r="B13" t="s">
        <v>4</v>
      </c>
      <c r="C13">
        <v>93.1</v>
      </c>
      <c r="D13">
        <v>0.01</v>
      </c>
      <c r="E13">
        <v>5.0000000000000001E-3</v>
      </c>
      <c r="F13">
        <f t="shared" si="0"/>
        <v>0.93099999999999994</v>
      </c>
      <c r="G13">
        <f t="shared" si="1"/>
        <v>0.46549999999999997</v>
      </c>
      <c r="H13">
        <f t="shared" si="2"/>
        <v>1.0408896435261521</v>
      </c>
      <c r="I13" s="1">
        <v>1</v>
      </c>
    </row>
    <row r="14" spans="1:9" x14ac:dyDescent="0.25">
      <c r="B14" t="s">
        <v>4</v>
      </c>
      <c r="C14">
        <v>1.9</v>
      </c>
      <c r="D14">
        <v>1.6E-2</v>
      </c>
      <c r="E14">
        <v>2.5000000000000001E-2</v>
      </c>
      <c r="F14">
        <f t="shared" si="0"/>
        <v>3.04E-2</v>
      </c>
      <c r="G14">
        <f t="shared" si="1"/>
        <v>4.7500000000000001E-2</v>
      </c>
      <c r="H14">
        <f t="shared" si="2"/>
        <v>5.6395123902692156E-2</v>
      </c>
      <c r="I14" s="1">
        <v>1</v>
      </c>
    </row>
    <row r="15" spans="1:9" x14ac:dyDescent="0.25">
      <c r="A15" t="s">
        <v>12</v>
      </c>
      <c r="B15">
        <v>10000</v>
      </c>
      <c r="C15">
        <v>10000</v>
      </c>
      <c r="D15">
        <v>2.5000000000000001E-3</v>
      </c>
      <c r="F15">
        <f t="shared" si="0"/>
        <v>25</v>
      </c>
      <c r="H15">
        <f t="shared" si="2"/>
        <v>25</v>
      </c>
      <c r="I15" s="1">
        <v>1</v>
      </c>
    </row>
    <row r="16" spans="1:9" x14ac:dyDescent="0.25">
      <c r="B16">
        <v>20000</v>
      </c>
      <c r="C16">
        <v>20000</v>
      </c>
      <c r="D16">
        <v>2E-3</v>
      </c>
      <c r="F16">
        <f t="shared" si="0"/>
        <v>40</v>
      </c>
      <c r="H16">
        <f t="shared" si="2"/>
        <v>40</v>
      </c>
      <c r="I16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Bruce (PG Research)</dc:creator>
  <cp:lastModifiedBy>Amy Bruce (PG Research)</cp:lastModifiedBy>
  <dcterms:created xsi:type="dcterms:W3CDTF">2026-03-17T11:27:12Z</dcterms:created>
  <dcterms:modified xsi:type="dcterms:W3CDTF">2026-03-17T11:51:11Z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2026-03-17T11:50:57Z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22d4354e-6a59-40ac-8c41-c293c9b83412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10, 3, 0, 1</vt:lpwstr>
  </property>
</Properties>
</file>