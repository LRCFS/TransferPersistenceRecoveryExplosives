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ail-my.sharepoint.com/personal/2609873_dundee_ac_uk/Documents/Documents/Errors/Standard Preparation/"/>
    </mc:Choice>
  </mc:AlternateContent>
  <xr:revisionPtr revIDLastSave="0" documentId="8_{041F507D-E0D7-4E54-BE88-7FA2D79086FC}" xr6:coauthVersionLast="47" xr6:coauthVersionMax="47" xr10:uidLastSave="{00000000-0000-0000-0000-000000000000}"/>
  <bookViews>
    <workbookView xWindow="-120" yWindow="-120" windowWidth="29040" windowHeight="17520" activeTab="1" xr2:uid="{0910967C-A7D3-4148-8FCF-D3B218E77FE8}"/>
  </bookViews>
  <sheets>
    <sheet name="Cal Stocks" sheetId="1" r:id="rId1"/>
    <sheet name="10ng Stoc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2" l="1"/>
  <c r="G27" i="2"/>
  <c r="F11" i="2"/>
  <c r="G11" i="2"/>
  <c r="F19" i="2"/>
  <c r="G19" i="2" s="1"/>
  <c r="F18" i="2"/>
  <c r="G18" i="2" s="1"/>
  <c r="F17" i="2"/>
  <c r="G17" i="2" s="1"/>
  <c r="F16" i="2"/>
  <c r="G16" i="2" s="1"/>
  <c r="F15" i="2"/>
  <c r="G15" i="2" s="1"/>
  <c r="F14" i="2"/>
  <c r="G14" i="2" s="1"/>
  <c r="F13" i="2"/>
  <c r="G13" i="2" s="1"/>
  <c r="F12" i="2"/>
  <c r="G12" i="2" s="1"/>
  <c r="F10" i="2"/>
  <c r="G10" i="2" s="1"/>
  <c r="F9" i="2"/>
  <c r="G9" i="2" s="1"/>
  <c r="F7" i="2"/>
  <c r="G7" i="2" s="1"/>
  <c r="F6" i="2"/>
  <c r="G6" i="2" s="1"/>
  <c r="F5" i="2"/>
  <c r="G5" i="2" s="1"/>
  <c r="F4" i="2"/>
  <c r="G4" i="2" s="1"/>
  <c r="M3" i="2"/>
  <c r="N3" i="2" s="1"/>
  <c r="F3" i="2"/>
  <c r="G3" i="2" s="1"/>
  <c r="M2" i="2"/>
  <c r="N2" i="2" s="1"/>
  <c r="F2" i="2"/>
  <c r="G2" i="2" s="1"/>
  <c r="G36" i="1"/>
  <c r="N2" i="1"/>
  <c r="M2" i="1"/>
  <c r="N3" i="1"/>
  <c r="M3" i="1"/>
  <c r="F18" i="1"/>
  <c r="G18" i="1" s="1"/>
  <c r="F19" i="1"/>
  <c r="G19" i="1" s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17" i="1"/>
  <c r="G17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F31" i="1"/>
  <c r="G31" i="1" s="1"/>
  <c r="F2" i="1"/>
  <c r="G2" i="1" s="1"/>
  <c r="G24" i="2" l="1"/>
  <c r="G39" i="1"/>
  <c r="G42" i="1" s="1"/>
</calcChain>
</file>

<file path=xl/sharedStrings.xml><?xml version="1.0" encoding="utf-8"?>
<sst xmlns="http://schemas.openxmlformats.org/spreadsheetml/2006/main" count="132" uniqueCount="35">
  <si>
    <t>solution</t>
  </si>
  <si>
    <t>equipment</t>
  </si>
  <si>
    <t>equipmentVolume</t>
  </si>
  <si>
    <t>equipmentTolerance</t>
  </si>
  <si>
    <t>equipmentCoverage</t>
  </si>
  <si>
    <t>Stock Solution A</t>
  </si>
  <si>
    <t>pipette</t>
  </si>
  <si>
    <t>flask</t>
  </si>
  <si>
    <t>Cal Solution 1</t>
  </si>
  <si>
    <t>Cal Solution 2</t>
  </si>
  <si>
    <t>Cal Solution 3</t>
  </si>
  <si>
    <t>Cal Solution 4</t>
  </si>
  <si>
    <t>Cal Solution 5</t>
  </si>
  <si>
    <t>Cal Solution 6</t>
  </si>
  <si>
    <t>Cal Solution 7</t>
  </si>
  <si>
    <t>Working Solution 1</t>
  </si>
  <si>
    <t>Working Solution 2</t>
  </si>
  <si>
    <t>Working Solution 3</t>
  </si>
  <si>
    <t>Working Solution 4</t>
  </si>
  <si>
    <t>Working Solution 5</t>
  </si>
  <si>
    <t>Working Solution 6</t>
  </si>
  <si>
    <t>u(Equipment)</t>
  </si>
  <si>
    <t>ur(Equipment)</t>
  </si>
  <si>
    <t>Cal sol 1=ur(stock sol A)+ur(pipette)+ur(flask)</t>
  </si>
  <si>
    <t>Working solution 1=ur(Cal sol 1)+ur(pipette)+ur(pipette)</t>
  </si>
  <si>
    <t>standard</t>
  </si>
  <si>
    <t>error</t>
  </si>
  <si>
    <t>coverage</t>
  </si>
  <si>
    <t>PETN</t>
  </si>
  <si>
    <t>concentration</t>
  </si>
  <si>
    <t>RDX</t>
  </si>
  <si>
    <t>ur(solution)</t>
  </si>
  <si>
    <t>u(solution)</t>
  </si>
  <si>
    <t>Stock solution A = ur(PETN)+ur(RDX)+ur(pipette)+ur(pipette)+ur(flask)</t>
  </si>
  <si>
    <t>Working solution 2=ur(Cal sol 1)+ur(pipette)+ur(pipette)+ur(pipette)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</si>
</sst>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651AB-ADD1-43DD-90A9-E7771E1150C0}">
  <dimension ref="A1:N42"/>
  <sheetViews>
    <sheetView workbookViewId="0">
      <selection activeCell="G39" sqref="G39"/>
    </sheetView>
  </sheetViews>
  <sheetFormatPr defaultRowHeight="14.5" x14ac:dyDescent="0.35"/>
  <cols>
    <col min="1" max="1" width="16.6328125" bestFit="1" customWidth="1"/>
    <col min="2" max="2" width="9.453125" bestFit="1" customWidth="1"/>
    <col min="3" max="3" width="15.6328125" bestFit="1" customWidth="1"/>
    <col min="4" max="4" width="17.6328125" bestFit="1" customWidth="1"/>
    <col min="5" max="5" width="17.26953125" bestFit="1" customWidth="1"/>
    <col min="6" max="6" width="12.54296875" bestFit="1" customWidth="1"/>
    <col min="7" max="7" width="13.1796875" bestFit="1" customWidth="1"/>
    <col min="10" max="10" width="12.81640625" bestFit="1" customWidth="1"/>
    <col min="13" max="13" width="10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I1" t="s">
        <v>25</v>
      </c>
      <c r="J1" t="s">
        <v>29</v>
      </c>
      <c r="K1" t="s">
        <v>26</v>
      </c>
      <c r="L1" t="s">
        <v>27</v>
      </c>
      <c r="M1" t="s">
        <v>32</v>
      </c>
      <c r="N1" t="s">
        <v>31</v>
      </c>
    </row>
    <row r="2" spans="1:14" x14ac:dyDescent="0.35">
      <c r="A2" t="s">
        <v>5</v>
      </c>
      <c r="B2" t="s">
        <v>6</v>
      </c>
      <c r="C2">
        <v>1000</v>
      </c>
      <c r="D2">
        <v>6</v>
      </c>
      <c r="E2">
        <v>2</v>
      </c>
      <c r="F2">
        <f>D2/E2</f>
        <v>3</v>
      </c>
      <c r="G2">
        <f>F2/C2</f>
        <v>3.0000000000000001E-3</v>
      </c>
      <c r="I2" t="s">
        <v>28</v>
      </c>
      <c r="J2">
        <v>1000</v>
      </c>
      <c r="K2">
        <v>47.1008</v>
      </c>
      <c r="L2">
        <v>2</v>
      </c>
      <c r="M2">
        <f>K2/L2</f>
        <v>23.5504</v>
      </c>
      <c r="N2">
        <f>M2/J2</f>
        <v>2.3550399999999999E-2</v>
      </c>
    </row>
    <row r="3" spans="1:14" x14ac:dyDescent="0.35">
      <c r="A3" t="s">
        <v>5</v>
      </c>
      <c r="B3" t="s">
        <v>7</v>
      </c>
      <c r="C3">
        <v>20000</v>
      </c>
      <c r="D3">
        <v>30</v>
      </c>
      <c r="E3">
        <v>2</v>
      </c>
      <c r="F3">
        <f t="shared" ref="F3:F31" si="0">D3/E3</f>
        <v>15</v>
      </c>
      <c r="G3">
        <f t="shared" ref="G3:G31" si="1">F3/C3</f>
        <v>7.5000000000000002E-4</v>
      </c>
      <c r="I3" t="s">
        <v>30</v>
      </c>
      <c r="J3">
        <v>1000</v>
      </c>
      <c r="K3">
        <v>47.356000000000002</v>
      </c>
      <c r="L3">
        <v>2</v>
      </c>
      <c r="M3">
        <f>K3/L3</f>
        <v>23.678000000000001</v>
      </c>
      <c r="N3">
        <f>M3/J3</f>
        <v>2.3678000000000001E-2</v>
      </c>
    </row>
    <row r="4" spans="1:14" x14ac:dyDescent="0.35">
      <c r="A4" t="s">
        <v>8</v>
      </c>
      <c r="B4" t="s">
        <v>6</v>
      </c>
      <c r="C4">
        <v>40</v>
      </c>
      <c r="D4">
        <v>1</v>
      </c>
      <c r="E4">
        <v>2</v>
      </c>
      <c r="F4">
        <f t="shared" si="0"/>
        <v>0.5</v>
      </c>
      <c r="G4">
        <f t="shared" si="1"/>
        <v>1.2500000000000001E-2</v>
      </c>
    </row>
    <row r="5" spans="1:14" x14ac:dyDescent="0.35">
      <c r="A5" t="s">
        <v>8</v>
      </c>
      <c r="B5" t="s">
        <v>7</v>
      </c>
      <c r="C5">
        <v>10000</v>
      </c>
      <c r="D5">
        <v>20</v>
      </c>
      <c r="E5">
        <v>2</v>
      </c>
      <c r="F5">
        <f t="shared" si="0"/>
        <v>10</v>
      </c>
      <c r="G5">
        <f t="shared" si="1"/>
        <v>1E-3</v>
      </c>
    </row>
    <row r="6" spans="1:14" x14ac:dyDescent="0.35">
      <c r="A6" t="s">
        <v>9</v>
      </c>
      <c r="B6" t="s">
        <v>6</v>
      </c>
      <c r="C6">
        <v>400</v>
      </c>
      <c r="D6">
        <v>6</v>
      </c>
      <c r="E6">
        <v>2</v>
      </c>
      <c r="F6">
        <f t="shared" si="0"/>
        <v>3</v>
      </c>
      <c r="G6">
        <f t="shared" si="1"/>
        <v>7.4999999999999997E-3</v>
      </c>
    </row>
    <row r="7" spans="1:14" x14ac:dyDescent="0.35">
      <c r="A7" t="s">
        <v>9</v>
      </c>
      <c r="B7" t="s">
        <v>7</v>
      </c>
      <c r="C7">
        <v>10000</v>
      </c>
      <c r="D7">
        <v>20</v>
      </c>
      <c r="E7">
        <v>2</v>
      </c>
      <c r="F7">
        <f t="shared" si="0"/>
        <v>10</v>
      </c>
      <c r="G7">
        <f t="shared" si="1"/>
        <v>1E-3</v>
      </c>
    </row>
    <row r="8" spans="1:14" x14ac:dyDescent="0.35">
      <c r="A8" t="s">
        <v>10</v>
      </c>
      <c r="B8" t="s">
        <v>6</v>
      </c>
      <c r="C8">
        <v>800</v>
      </c>
      <c r="D8">
        <v>6</v>
      </c>
      <c r="E8">
        <v>2</v>
      </c>
      <c r="F8">
        <f t="shared" si="0"/>
        <v>3</v>
      </c>
      <c r="G8">
        <f t="shared" si="1"/>
        <v>3.7499999999999999E-3</v>
      </c>
    </row>
    <row r="9" spans="1:14" x14ac:dyDescent="0.35">
      <c r="A9" t="s">
        <v>10</v>
      </c>
      <c r="B9" t="s">
        <v>7</v>
      </c>
      <c r="C9">
        <v>10000</v>
      </c>
      <c r="D9">
        <v>20</v>
      </c>
      <c r="E9">
        <v>2</v>
      </c>
      <c r="F9">
        <f t="shared" si="0"/>
        <v>10</v>
      </c>
      <c r="G9">
        <f t="shared" si="1"/>
        <v>1E-3</v>
      </c>
    </row>
    <row r="10" spans="1:14" x14ac:dyDescent="0.35">
      <c r="A10" t="s">
        <v>11</v>
      </c>
      <c r="B10" t="s">
        <v>6</v>
      </c>
      <c r="C10">
        <v>1000</v>
      </c>
      <c r="D10">
        <v>6</v>
      </c>
      <c r="E10">
        <v>2</v>
      </c>
      <c r="F10">
        <f t="shared" si="0"/>
        <v>3</v>
      </c>
      <c r="G10">
        <f t="shared" si="1"/>
        <v>3.0000000000000001E-3</v>
      </c>
    </row>
    <row r="11" spans="1:14" x14ac:dyDescent="0.35">
      <c r="A11" t="s">
        <v>11</v>
      </c>
      <c r="B11" t="s">
        <v>6</v>
      </c>
      <c r="C11">
        <v>200</v>
      </c>
      <c r="D11">
        <v>6</v>
      </c>
      <c r="E11">
        <v>2</v>
      </c>
      <c r="F11">
        <f t="shared" si="0"/>
        <v>3</v>
      </c>
      <c r="G11">
        <f t="shared" si="1"/>
        <v>1.4999999999999999E-2</v>
      </c>
    </row>
    <row r="12" spans="1:14" x14ac:dyDescent="0.35">
      <c r="A12" t="s">
        <v>11</v>
      </c>
      <c r="B12" t="s">
        <v>7</v>
      </c>
      <c r="C12">
        <v>10000</v>
      </c>
      <c r="D12">
        <v>20</v>
      </c>
      <c r="E12">
        <v>2</v>
      </c>
      <c r="F12">
        <f t="shared" si="0"/>
        <v>10</v>
      </c>
      <c r="G12">
        <f t="shared" si="1"/>
        <v>1E-3</v>
      </c>
    </row>
    <row r="13" spans="1:14" x14ac:dyDescent="0.35">
      <c r="A13" t="s">
        <v>12</v>
      </c>
      <c r="B13" t="s">
        <v>6</v>
      </c>
      <c r="C13">
        <v>1000</v>
      </c>
      <c r="D13">
        <v>6</v>
      </c>
      <c r="E13">
        <v>2</v>
      </c>
      <c r="F13">
        <f t="shared" si="0"/>
        <v>3</v>
      </c>
      <c r="G13">
        <f t="shared" si="1"/>
        <v>3.0000000000000001E-3</v>
      </c>
    </row>
    <row r="14" spans="1:14" x14ac:dyDescent="0.35">
      <c r="A14" t="s">
        <v>12</v>
      </c>
      <c r="B14" t="s">
        <v>6</v>
      </c>
      <c r="C14">
        <v>600</v>
      </c>
      <c r="D14">
        <v>6</v>
      </c>
      <c r="E14">
        <v>2</v>
      </c>
      <c r="F14">
        <f t="shared" si="0"/>
        <v>3</v>
      </c>
      <c r="G14">
        <f t="shared" si="1"/>
        <v>5.0000000000000001E-3</v>
      </c>
    </row>
    <row r="15" spans="1:14" x14ac:dyDescent="0.35">
      <c r="A15" t="s">
        <v>12</v>
      </c>
      <c r="B15" t="s">
        <v>7</v>
      </c>
      <c r="C15">
        <v>10000</v>
      </c>
      <c r="D15">
        <v>20</v>
      </c>
      <c r="E15">
        <v>2</v>
      </c>
      <c r="F15">
        <f t="shared" si="0"/>
        <v>10</v>
      </c>
      <c r="G15">
        <f t="shared" si="1"/>
        <v>1E-3</v>
      </c>
    </row>
    <row r="16" spans="1:14" x14ac:dyDescent="0.35">
      <c r="A16" t="s">
        <v>13</v>
      </c>
      <c r="B16" t="s">
        <v>6</v>
      </c>
      <c r="C16">
        <v>1000</v>
      </c>
      <c r="D16">
        <v>6</v>
      </c>
      <c r="E16">
        <v>2</v>
      </c>
      <c r="F16">
        <f t="shared" si="0"/>
        <v>3</v>
      </c>
      <c r="G16">
        <f t="shared" si="1"/>
        <v>3.0000000000000001E-3</v>
      </c>
    </row>
    <row r="17" spans="1:7" x14ac:dyDescent="0.35">
      <c r="A17" t="s">
        <v>13</v>
      </c>
      <c r="B17" t="s">
        <v>7</v>
      </c>
      <c r="C17">
        <v>10000</v>
      </c>
      <c r="D17">
        <v>20</v>
      </c>
      <c r="E17">
        <v>2</v>
      </c>
      <c r="F17">
        <f t="shared" si="0"/>
        <v>10</v>
      </c>
      <c r="G17">
        <f t="shared" si="1"/>
        <v>1E-3</v>
      </c>
    </row>
    <row r="18" spans="1:7" ht="15.5" customHeight="1" x14ac:dyDescent="0.35">
      <c r="A18" t="s">
        <v>14</v>
      </c>
      <c r="B18" t="s">
        <v>7</v>
      </c>
      <c r="C18">
        <v>20000</v>
      </c>
      <c r="D18">
        <v>30</v>
      </c>
      <c r="E18">
        <v>2</v>
      </c>
      <c r="F18">
        <f t="shared" si="0"/>
        <v>15</v>
      </c>
      <c r="G18">
        <f t="shared" si="1"/>
        <v>7.5000000000000002E-4</v>
      </c>
    </row>
    <row r="19" spans="1:7" x14ac:dyDescent="0.35">
      <c r="A19" t="s">
        <v>14</v>
      </c>
      <c r="B19" t="s">
        <v>6</v>
      </c>
      <c r="C19">
        <v>1000</v>
      </c>
      <c r="D19">
        <v>6</v>
      </c>
      <c r="E19">
        <v>2</v>
      </c>
      <c r="F19">
        <f t="shared" si="0"/>
        <v>3</v>
      </c>
      <c r="G19">
        <f t="shared" si="1"/>
        <v>3.0000000000000001E-3</v>
      </c>
    </row>
    <row r="20" spans="1:7" x14ac:dyDescent="0.35">
      <c r="A20" t="s">
        <v>15</v>
      </c>
      <c r="B20" t="s">
        <v>6</v>
      </c>
      <c r="C20">
        <v>95</v>
      </c>
      <c r="D20">
        <v>1</v>
      </c>
      <c r="E20">
        <v>2</v>
      </c>
      <c r="F20">
        <f t="shared" si="0"/>
        <v>0.5</v>
      </c>
      <c r="G20">
        <f t="shared" si="1"/>
        <v>5.263157894736842E-3</v>
      </c>
    </row>
    <row r="21" spans="1:7" x14ac:dyDescent="0.35">
      <c r="A21" t="s">
        <v>15</v>
      </c>
      <c r="B21" t="s">
        <v>6</v>
      </c>
      <c r="C21">
        <v>5</v>
      </c>
      <c r="D21">
        <v>0.55000000000000004</v>
      </c>
      <c r="E21">
        <v>2</v>
      </c>
      <c r="F21">
        <f t="shared" si="0"/>
        <v>0.27500000000000002</v>
      </c>
      <c r="G21">
        <f t="shared" si="1"/>
        <v>5.5000000000000007E-2</v>
      </c>
    </row>
    <row r="22" spans="1:7" x14ac:dyDescent="0.35">
      <c r="A22" t="s">
        <v>16</v>
      </c>
      <c r="B22" t="s">
        <v>6</v>
      </c>
      <c r="C22">
        <v>95</v>
      </c>
      <c r="D22">
        <v>1</v>
      </c>
      <c r="E22">
        <v>2</v>
      </c>
      <c r="F22">
        <f t="shared" si="0"/>
        <v>0.5</v>
      </c>
      <c r="G22">
        <f t="shared" si="1"/>
        <v>5.263157894736842E-3</v>
      </c>
    </row>
    <row r="23" spans="1:7" x14ac:dyDescent="0.35">
      <c r="A23" t="s">
        <v>16</v>
      </c>
      <c r="B23" t="s">
        <v>6</v>
      </c>
      <c r="C23">
        <v>5</v>
      </c>
      <c r="D23">
        <v>0.55000000000000004</v>
      </c>
      <c r="E23">
        <v>2</v>
      </c>
      <c r="F23">
        <f t="shared" si="0"/>
        <v>0.27500000000000002</v>
      </c>
      <c r="G23">
        <f t="shared" si="1"/>
        <v>5.5000000000000007E-2</v>
      </c>
    </row>
    <row r="24" spans="1:7" x14ac:dyDescent="0.35">
      <c r="A24" t="s">
        <v>17</v>
      </c>
      <c r="B24" t="s">
        <v>6</v>
      </c>
      <c r="C24">
        <v>95</v>
      </c>
      <c r="D24">
        <v>1</v>
      </c>
      <c r="E24">
        <v>2</v>
      </c>
      <c r="F24">
        <f t="shared" si="0"/>
        <v>0.5</v>
      </c>
      <c r="G24">
        <f t="shared" si="1"/>
        <v>5.263157894736842E-3</v>
      </c>
    </row>
    <row r="25" spans="1:7" x14ac:dyDescent="0.35">
      <c r="A25" t="s">
        <v>17</v>
      </c>
      <c r="B25" t="s">
        <v>6</v>
      </c>
      <c r="C25">
        <v>5</v>
      </c>
      <c r="D25">
        <v>0.55000000000000004</v>
      </c>
      <c r="E25">
        <v>2</v>
      </c>
      <c r="F25">
        <f t="shared" si="0"/>
        <v>0.27500000000000002</v>
      </c>
      <c r="G25">
        <f t="shared" si="1"/>
        <v>5.5000000000000007E-2</v>
      </c>
    </row>
    <row r="26" spans="1:7" x14ac:dyDescent="0.35">
      <c r="A26" t="s">
        <v>18</v>
      </c>
      <c r="B26" t="s">
        <v>6</v>
      </c>
      <c r="C26">
        <v>95</v>
      </c>
      <c r="D26">
        <v>1</v>
      </c>
      <c r="E26">
        <v>2</v>
      </c>
      <c r="F26">
        <f t="shared" si="0"/>
        <v>0.5</v>
      </c>
      <c r="G26">
        <f t="shared" si="1"/>
        <v>5.263157894736842E-3</v>
      </c>
    </row>
    <row r="27" spans="1:7" x14ac:dyDescent="0.35">
      <c r="A27" t="s">
        <v>18</v>
      </c>
      <c r="B27" t="s">
        <v>6</v>
      </c>
      <c r="C27">
        <v>5</v>
      </c>
      <c r="D27">
        <v>0.55000000000000004</v>
      </c>
      <c r="E27">
        <v>2</v>
      </c>
      <c r="F27">
        <f t="shared" si="0"/>
        <v>0.27500000000000002</v>
      </c>
      <c r="G27">
        <f t="shared" si="1"/>
        <v>5.5000000000000007E-2</v>
      </c>
    </row>
    <row r="28" spans="1:7" x14ac:dyDescent="0.35">
      <c r="A28" t="s">
        <v>19</v>
      </c>
      <c r="B28" t="s">
        <v>6</v>
      </c>
      <c r="C28">
        <v>95</v>
      </c>
      <c r="D28">
        <v>1</v>
      </c>
      <c r="E28">
        <v>2</v>
      </c>
      <c r="F28">
        <f t="shared" si="0"/>
        <v>0.5</v>
      </c>
      <c r="G28">
        <f t="shared" si="1"/>
        <v>5.263157894736842E-3</v>
      </c>
    </row>
    <row r="29" spans="1:7" x14ac:dyDescent="0.35">
      <c r="A29" t="s">
        <v>19</v>
      </c>
      <c r="B29" t="s">
        <v>6</v>
      </c>
      <c r="C29">
        <v>5</v>
      </c>
      <c r="D29">
        <v>0.55000000000000004</v>
      </c>
      <c r="E29">
        <v>2</v>
      </c>
      <c r="F29">
        <f t="shared" si="0"/>
        <v>0.27500000000000002</v>
      </c>
      <c r="G29">
        <f t="shared" si="1"/>
        <v>5.5000000000000007E-2</v>
      </c>
    </row>
    <row r="30" spans="1:7" x14ac:dyDescent="0.35">
      <c r="A30" t="s">
        <v>20</v>
      </c>
      <c r="B30" t="s">
        <v>6</v>
      </c>
      <c r="C30">
        <v>95</v>
      </c>
      <c r="D30">
        <v>1</v>
      </c>
      <c r="E30">
        <v>2</v>
      </c>
      <c r="F30">
        <f t="shared" si="0"/>
        <v>0.5</v>
      </c>
      <c r="G30">
        <f t="shared" si="1"/>
        <v>5.263157894736842E-3</v>
      </c>
    </row>
    <row r="31" spans="1:7" x14ac:dyDescent="0.35">
      <c r="A31" t="s">
        <v>20</v>
      </c>
      <c r="B31" t="s">
        <v>6</v>
      </c>
      <c r="C31">
        <v>5</v>
      </c>
      <c r="D31">
        <v>0.55000000000000004</v>
      </c>
      <c r="E31">
        <v>2</v>
      </c>
      <c r="F31">
        <f t="shared" si="0"/>
        <v>0.27500000000000002</v>
      </c>
      <c r="G31">
        <f t="shared" si="1"/>
        <v>5.5000000000000007E-2</v>
      </c>
    </row>
    <row r="35" spans="7:7" x14ac:dyDescent="0.35">
      <c r="G35" t="s">
        <v>33</v>
      </c>
    </row>
    <row r="36" spans="7:7" x14ac:dyDescent="0.35">
      <c r="G36">
        <f>SQRT(N2^2+N3^2+G2^2+G2^2+G3^2)</f>
        <v>3.3672414884590614E-2</v>
      </c>
    </row>
    <row r="38" spans="7:7" x14ac:dyDescent="0.35">
      <c r="G38" t="s">
        <v>23</v>
      </c>
    </row>
    <row r="39" spans="7:7" x14ac:dyDescent="0.35">
      <c r="G39">
        <f>SQRT(G36^2+G4^2+G5^2)</f>
        <v>3.5931622899056471E-2</v>
      </c>
    </row>
    <row r="41" spans="7:7" x14ac:dyDescent="0.35">
      <c r="G41" t="s">
        <v>24</v>
      </c>
    </row>
    <row r="42" spans="7:7" x14ac:dyDescent="0.35">
      <c r="G42" s="1">
        <f>SQRT(G39^2+G20^2+G21^2)</f>
        <v>6.5907377092287098E-2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B0232-B1A4-4730-83AD-DB86FD00EC71}">
  <dimension ref="A1:N30"/>
  <sheetViews>
    <sheetView tabSelected="1" workbookViewId="0">
      <selection activeCell="G31" sqref="G31"/>
    </sheetView>
  </sheetViews>
  <sheetFormatPr defaultRowHeight="14.5" x14ac:dyDescent="0.35"/>
  <cols>
    <col min="1" max="1" width="16.6328125" bestFit="1" customWidth="1"/>
    <col min="2" max="2" width="9.453125" bestFit="1" customWidth="1"/>
    <col min="3" max="3" width="15.6328125" bestFit="1" customWidth="1"/>
    <col min="4" max="4" width="17.6328125" bestFit="1" customWidth="1"/>
    <col min="5" max="5" width="17.26953125" bestFit="1" customWidth="1"/>
    <col min="6" max="6" width="12.54296875" bestFit="1" customWidth="1"/>
    <col min="7" max="7" width="13.1796875" bestFit="1" customWidth="1"/>
    <col min="10" max="10" width="12.81640625" bestFit="1" customWidth="1"/>
    <col min="13" max="13" width="10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21</v>
      </c>
      <c r="G1" t="s">
        <v>22</v>
      </c>
      <c r="I1" t="s">
        <v>25</v>
      </c>
      <c r="J1" t="s">
        <v>29</v>
      </c>
      <c r="K1" t="s">
        <v>26</v>
      </c>
      <c r="L1" t="s">
        <v>27</v>
      </c>
      <c r="M1" t="s">
        <v>32</v>
      </c>
      <c r="N1" t="s">
        <v>31</v>
      </c>
    </row>
    <row r="2" spans="1:14" x14ac:dyDescent="0.35">
      <c r="A2" t="s">
        <v>5</v>
      </c>
      <c r="B2" t="s">
        <v>6</v>
      </c>
      <c r="C2">
        <v>1000</v>
      </c>
      <c r="D2">
        <v>6</v>
      </c>
      <c r="E2">
        <v>2</v>
      </c>
      <c r="F2">
        <f>D2/E2</f>
        <v>3</v>
      </c>
      <c r="G2">
        <f>F2/C2</f>
        <v>3.0000000000000001E-3</v>
      </c>
      <c r="I2" t="s">
        <v>28</v>
      </c>
      <c r="J2">
        <v>1000</v>
      </c>
      <c r="K2">
        <v>47.1008</v>
      </c>
      <c r="L2">
        <v>2</v>
      </c>
      <c r="M2">
        <f>K2/L2</f>
        <v>23.5504</v>
      </c>
      <c r="N2">
        <f>M2/J2</f>
        <v>2.3550399999999999E-2</v>
      </c>
    </row>
    <row r="3" spans="1:14" x14ac:dyDescent="0.35">
      <c r="A3" t="s">
        <v>5</v>
      </c>
      <c r="B3" t="s">
        <v>7</v>
      </c>
      <c r="C3">
        <v>20000</v>
      </c>
      <c r="D3">
        <v>30</v>
      </c>
      <c r="E3">
        <v>2</v>
      </c>
      <c r="F3">
        <f t="shared" ref="F3:F19" si="0">D3/E3</f>
        <v>15</v>
      </c>
      <c r="G3">
        <f t="shared" ref="G3:G19" si="1">F3/C3</f>
        <v>7.5000000000000002E-4</v>
      </c>
      <c r="I3" t="s">
        <v>30</v>
      </c>
      <c r="J3">
        <v>1000</v>
      </c>
      <c r="K3">
        <v>47.356000000000002</v>
      </c>
      <c r="L3">
        <v>2</v>
      </c>
      <c r="M3">
        <f>K3/L3</f>
        <v>23.678000000000001</v>
      </c>
      <c r="N3">
        <f>M3/J3</f>
        <v>2.3678000000000001E-2</v>
      </c>
    </row>
    <row r="4" spans="1:14" x14ac:dyDescent="0.35">
      <c r="A4" t="s">
        <v>8</v>
      </c>
      <c r="B4" t="s">
        <v>6</v>
      </c>
      <c r="C4">
        <v>40</v>
      </c>
      <c r="D4">
        <v>1</v>
      </c>
      <c r="E4">
        <v>2</v>
      </c>
      <c r="F4">
        <f t="shared" si="0"/>
        <v>0.5</v>
      </c>
      <c r="G4">
        <f t="shared" si="1"/>
        <v>1.2500000000000001E-2</v>
      </c>
    </row>
    <row r="5" spans="1:14" x14ac:dyDescent="0.35">
      <c r="A5" t="s">
        <v>8</v>
      </c>
      <c r="B5" t="s">
        <v>7</v>
      </c>
      <c r="C5">
        <v>10000</v>
      </c>
      <c r="D5">
        <v>20</v>
      </c>
      <c r="E5">
        <v>2</v>
      </c>
      <c r="F5">
        <f t="shared" si="0"/>
        <v>10</v>
      </c>
      <c r="G5">
        <f t="shared" si="1"/>
        <v>1E-3</v>
      </c>
    </row>
    <row r="6" spans="1:14" x14ac:dyDescent="0.35">
      <c r="A6" t="s">
        <v>15</v>
      </c>
      <c r="B6" t="s">
        <v>6</v>
      </c>
      <c r="C6">
        <v>95</v>
      </c>
      <c r="D6">
        <v>1</v>
      </c>
      <c r="E6">
        <v>2</v>
      </c>
      <c r="F6">
        <f t="shared" si="0"/>
        <v>0.5</v>
      </c>
      <c r="G6">
        <f t="shared" si="1"/>
        <v>5.263157894736842E-3</v>
      </c>
    </row>
    <row r="7" spans="1:14" x14ac:dyDescent="0.35">
      <c r="A7" t="s">
        <v>15</v>
      </c>
      <c r="B7" t="s">
        <v>6</v>
      </c>
      <c r="C7">
        <v>5</v>
      </c>
      <c r="D7">
        <v>0.55000000000000004</v>
      </c>
      <c r="E7">
        <v>2</v>
      </c>
      <c r="F7">
        <f t="shared" si="0"/>
        <v>0.27500000000000002</v>
      </c>
      <c r="G7">
        <f t="shared" si="1"/>
        <v>5.5000000000000007E-2</v>
      </c>
    </row>
    <row r="8" spans="1:14" x14ac:dyDescent="0.35">
      <c r="A8" t="s">
        <v>15</v>
      </c>
      <c r="B8" t="s">
        <v>6</v>
      </c>
    </row>
    <row r="9" spans="1:14" x14ac:dyDescent="0.35">
      <c r="A9" t="s">
        <v>16</v>
      </c>
      <c r="B9" t="s">
        <v>6</v>
      </c>
      <c r="C9">
        <v>76</v>
      </c>
      <c r="D9">
        <v>1</v>
      </c>
      <c r="E9">
        <v>2</v>
      </c>
      <c r="F9">
        <f t="shared" si="0"/>
        <v>0.5</v>
      </c>
      <c r="G9">
        <f t="shared" si="1"/>
        <v>6.5789473684210523E-3</v>
      </c>
    </row>
    <row r="10" spans="1:14" x14ac:dyDescent="0.35">
      <c r="A10" t="s">
        <v>16</v>
      </c>
      <c r="B10" t="s">
        <v>6</v>
      </c>
      <c r="C10">
        <v>19</v>
      </c>
      <c r="D10">
        <v>0.55000000000000004</v>
      </c>
      <c r="E10">
        <v>2</v>
      </c>
      <c r="F10">
        <f t="shared" si="0"/>
        <v>0.27500000000000002</v>
      </c>
      <c r="G10">
        <f t="shared" si="1"/>
        <v>1.4473684210526317E-2</v>
      </c>
    </row>
    <row r="11" spans="1:14" x14ac:dyDescent="0.35">
      <c r="A11" t="s">
        <v>16</v>
      </c>
      <c r="B11" t="s">
        <v>6</v>
      </c>
      <c r="C11">
        <v>5</v>
      </c>
      <c r="D11">
        <v>0.55000000000000004</v>
      </c>
      <c r="E11">
        <v>2</v>
      </c>
      <c r="F11">
        <f t="shared" si="0"/>
        <v>0.27500000000000002</v>
      </c>
      <c r="G11">
        <f t="shared" si="1"/>
        <v>5.5000000000000007E-2</v>
      </c>
    </row>
    <row r="12" spans="1:14" x14ac:dyDescent="0.35">
      <c r="A12" t="s">
        <v>17</v>
      </c>
      <c r="B12" t="s">
        <v>6</v>
      </c>
      <c r="C12">
        <v>95</v>
      </c>
      <c r="D12">
        <v>1</v>
      </c>
      <c r="E12">
        <v>2</v>
      </c>
      <c r="F12">
        <f t="shared" si="0"/>
        <v>0.5</v>
      </c>
      <c r="G12">
        <f t="shared" si="1"/>
        <v>5.263157894736842E-3</v>
      </c>
    </row>
    <row r="13" spans="1:14" x14ac:dyDescent="0.35">
      <c r="A13" t="s">
        <v>17</v>
      </c>
      <c r="B13" t="s">
        <v>6</v>
      </c>
      <c r="C13">
        <v>5</v>
      </c>
      <c r="D13">
        <v>0.55000000000000004</v>
      </c>
      <c r="E13">
        <v>2</v>
      </c>
      <c r="F13">
        <f t="shared" si="0"/>
        <v>0.27500000000000002</v>
      </c>
      <c r="G13">
        <f t="shared" si="1"/>
        <v>5.5000000000000007E-2</v>
      </c>
    </row>
    <row r="14" spans="1:14" x14ac:dyDescent="0.35">
      <c r="A14" t="s">
        <v>18</v>
      </c>
      <c r="B14" t="s">
        <v>6</v>
      </c>
      <c r="C14">
        <v>95</v>
      </c>
      <c r="D14">
        <v>1</v>
      </c>
      <c r="E14">
        <v>2</v>
      </c>
      <c r="F14">
        <f t="shared" si="0"/>
        <v>0.5</v>
      </c>
      <c r="G14">
        <f t="shared" si="1"/>
        <v>5.263157894736842E-3</v>
      </c>
    </row>
    <row r="15" spans="1:14" x14ac:dyDescent="0.35">
      <c r="A15" t="s">
        <v>18</v>
      </c>
      <c r="B15" t="s">
        <v>6</v>
      </c>
      <c r="C15">
        <v>5</v>
      </c>
      <c r="D15">
        <v>0.55000000000000004</v>
      </c>
      <c r="E15">
        <v>2</v>
      </c>
      <c r="F15">
        <f t="shared" si="0"/>
        <v>0.27500000000000002</v>
      </c>
      <c r="G15">
        <f t="shared" si="1"/>
        <v>5.5000000000000007E-2</v>
      </c>
    </row>
    <row r="16" spans="1:14" x14ac:dyDescent="0.35">
      <c r="A16" t="s">
        <v>19</v>
      </c>
      <c r="B16" t="s">
        <v>6</v>
      </c>
      <c r="C16">
        <v>95</v>
      </c>
      <c r="D16">
        <v>1</v>
      </c>
      <c r="E16">
        <v>2</v>
      </c>
      <c r="F16">
        <f t="shared" si="0"/>
        <v>0.5</v>
      </c>
      <c r="G16">
        <f t="shared" si="1"/>
        <v>5.263157894736842E-3</v>
      </c>
    </row>
    <row r="17" spans="1:7" x14ac:dyDescent="0.35">
      <c r="A17" t="s">
        <v>19</v>
      </c>
      <c r="B17" t="s">
        <v>6</v>
      </c>
      <c r="C17">
        <v>5</v>
      </c>
      <c r="D17">
        <v>0.55000000000000004</v>
      </c>
      <c r="E17">
        <v>2</v>
      </c>
      <c r="F17">
        <f t="shared" si="0"/>
        <v>0.27500000000000002</v>
      </c>
      <c r="G17">
        <f t="shared" si="1"/>
        <v>5.5000000000000007E-2</v>
      </c>
    </row>
    <row r="18" spans="1:7" x14ac:dyDescent="0.35">
      <c r="A18" t="s">
        <v>20</v>
      </c>
      <c r="B18" t="s">
        <v>6</v>
      </c>
      <c r="C18">
        <v>95</v>
      </c>
      <c r="D18">
        <v>1</v>
      </c>
      <c r="E18">
        <v>2</v>
      </c>
      <c r="F18">
        <f t="shared" si="0"/>
        <v>0.5</v>
      </c>
      <c r="G18">
        <f t="shared" si="1"/>
        <v>5.263157894736842E-3</v>
      </c>
    </row>
    <row r="19" spans="1:7" x14ac:dyDescent="0.35">
      <c r="A19" t="s">
        <v>20</v>
      </c>
      <c r="B19" t="s">
        <v>6</v>
      </c>
      <c r="C19">
        <v>5</v>
      </c>
      <c r="D19">
        <v>0.55000000000000004</v>
      </c>
      <c r="E19">
        <v>2</v>
      </c>
      <c r="F19">
        <f t="shared" si="0"/>
        <v>0.27500000000000002</v>
      </c>
      <c r="G19">
        <f t="shared" si="1"/>
        <v>5.5000000000000007E-2</v>
      </c>
    </row>
    <row r="23" spans="1:7" x14ac:dyDescent="0.35">
      <c r="G23" t="s">
        <v>33</v>
      </c>
    </row>
    <row r="24" spans="1:7" x14ac:dyDescent="0.35">
      <c r="G24">
        <f>SQRT(N2^2+N3^2+G2^2+G2^2+G3^2)</f>
        <v>3.3672414884590614E-2</v>
      </c>
    </row>
    <row r="26" spans="1:7" x14ac:dyDescent="0.35">
      <c r="G26" t="s">
        <v>23</v>
      </c>
    </row>
    <row r="27" spans="1:7" x14ac:dyDescent="0.35">
      <c r="G27">
        <f>SQRT(G24^2+G4^2+G5^2)</f>
        <v>3.5931622899056471E-2</v>
      </c>
    </row>
    <row r="29" spans="1:7" x14ac:dyDescent="0.35">
      <c r="G29" t="s">
        <v>34</v>
      </c>
    </row>
    <row r="30" spans="1:7" x14ac:dyDescent="0.35">
      <c r="G30" s="1">
        <f>SQRT(G27^2+G9^2+G10^2+G11^2)</f>
        <v>6.7593280784871604E-2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 Stocks</vt:lpstr>
      <vt:lpstr>10ng Stock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Amy Bruce (PG Research)</dc:creator>
  <cp:lastModifiedBy>Amy Bruce (PG Research)</cp:lastModifiedBy>
  <dcterms:created xsi:type="dcterms:W3CDTF">2026-03-13T08:37:33Z</dcterms:created>
  <dcterms:modified xsi:type="dcterms:W3CDTF">2026-03-13T09:12:26Z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2026-03-13T08:40:05Z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b2746096-f53a-47e9-b0e6-3c24abb636d0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